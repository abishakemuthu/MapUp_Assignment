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ssignments\MapUp-DA-Assessment-2024\"/>
    </mc:Choice>
  </mc:AlternateContent>
  <xr:revisionPtr revIDLastSave="0" documentId="13_ncr:1_{38F6C83C-9FDF-4726-84A0-EE4B2CB0FC4F}" xr6:coauthVersionLast="47" xr6:coauthVersionMax="47" xr10:uidLastSave="{00000000-0000-0000-0000-000000000000}"/>
  <bookViews>
    <workbookView xWindow="-110" yWindow="-110" windowWidth="19420" windowHeight="1030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E25" i="20" l="1"/>
  <c r="E26" i="20"/>
  <c r="E27" i="20"/>
  <c r="E28" i="20"/>
  <c r="E29" i="20"/>
  <c r="E30" i="20"/>
  <c r="E31" i="20"/>
  <c r="E32" i="20"/>
  <c r="E33" i="20"/>
  <c r="E34" i="20"/>
  <c r="E35" i="20"/>
  <c r="E24" i="20"/>
  <c r="E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C29" i="18"/>
  <c r="D29" i="18"/>
  <c r="E29" i="18"/>
  <c r="F29" i="18"/>
  <c r="B29" i="18"/>
  <c r="B30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<sst xmlns="http://schemas.openxmlformats.org/spreadsheetml/2006/main" count="418" uniqueCount="190">
  <si>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</si>
  <si>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</si>
  <si>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</si>
  <si>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</si>
  <si>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</si>
  <si>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</si>
  <si>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</si>
  <si>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</si>
  <si>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</si>
  <si>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</si>
  <si>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</si>
  <si>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</si>
  <si>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</si>
  <si>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</si>
  <si>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</si>
  <si>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</si>
  <si>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</si>
  <si>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</si>
  <si>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</si>
  <si>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</si>
  <si>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</si>
  <si>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</si>
  <si>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</si>
  <si>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</si>
  <si>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</si>
  <si>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</si>
  <si>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</si>
  <si>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</si>
  <si>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</si>
  <si>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</si>
  <si>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</si>
  <si>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</si>
  <si>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</si>
  <si>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</si>
  <si>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</si>
  <si>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</si>
  <si>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</si>
  <si>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</si>
  <si>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</si>
  <si>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</si>
  <si>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</si>
  <si>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</si>
  <si>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</si>
  <si>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</si>
  <si>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</si>
  <si>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</si>
  <si>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</si>
  <si>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</si>
  <si>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</si>
  <si>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</si>
  <si>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</si>
  <si>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</si>
  <si>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</si>
  <si>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</si>
  <si>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</si>
  <si>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</si>
  <si>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</si>
  <si>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</si>
  <si>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</si>
  <si>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</si>
  <si>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</si>
  <si>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</si>
  <si>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</si>
  <si>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</si>
  <si>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</si>
  <si>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</si>
  <si>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</si>
  <si>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</si>
  <si>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</si>
  <si>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</si>
  <si>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</si>
  <si>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</si>
  <si>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</si>
  <si>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</si>
  <si>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</si>
  <si>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</si>
  <si>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</si>
  <si>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</si>
  <si>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</si>
  <si>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</si>
  <si>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</si>
  <si>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</si>
  <si>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</si>
  <si>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</si>
  <si>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</si>
  <si>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</si>
  <si>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</si>
  <si>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</si>
  <si>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</si>
  <si>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</si>
  <si>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</si>
  <si>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</si>
  <si>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</si>
  <si>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</si>
  <si>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</si>
  <si>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</si>
  <si>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</si>
  <si>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</si>
  <si>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</si>
  <si>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</si>
  <si>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</si>
  <si>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</si>
  <si>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</si>
  <si>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</si>
  <si>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</si>
  <si>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</si>
  <si>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</si>
  <si>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</si>
  <si>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</si>
  <si>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</si>
  <si>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</si>
  <si>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</si>
  <si>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</si>
  <si>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</si>
  <si>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</si>
  <si>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</si>
  <si>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</si>
  <si>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</si>
  <si>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</si>
  <si>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</si>
  <si>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</si>
  <si>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</si>
  <si>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</si>
  <si>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</si>
  <si>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</si>
  <si>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</si>
  <si>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</si>
  <si>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</si>
  <si>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</si>
  <si>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</si>
  <si>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</si>
  <si>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</si>
  <si>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</si>
  <si>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</si>
  <si>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</si>
  <si>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</si>
  <si>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</si>
  <si>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</si>
  <si>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</si>
  <si>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</si>
  <si>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</si>
  <si>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</si>
  <si>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</si>
  <si>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</si>
  <si>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</si>
  <si>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</si>
  <si>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</si>
  <si>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</si>
  <si>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</si>
  <si>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</si>
  <si>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</si>
  <si>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</si>
  <si>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</si>
  <si>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</si>
  <si>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</si>
  <si>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</si>
  <si>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</si>
  <si>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</si>
  <si>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</si>
  <si>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</si>
  <si>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</si>
  <si>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</si>
  <si>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</si>
  <si>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</si>
  <si>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</si>
  <si>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</si>
  <si>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</si>
  <si>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</si>
  <si>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</si>
  <si>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</si>
  <si>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</si>
  <si>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</si>
  <si>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</si>
  <si>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</si>
  <si>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</si>
  <si>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</si>
  <si>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</si>
  <si>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 have used sum function to sum all the values.</t>
  </si>
  <si>
    <t>I have used find and replace to replace all the null values with 20.</t>
  </si>
  <si>
    <t>Ans:</t>
  </si>
  <si>
    <t>I have used Vlookups, Index and Match functions to complete this answer.</t>
  </si>
  <si>
    <t>- Then I have used Index with Match function to fetch the required data from Table_A</t>
  </si>
  <si>
    <t>- First I have fetched the data from Table B to make the work little convenient using Vlookups.</t>
  </si>
  <si>
    <t>Here I have used text to columns function to split the data based on delimiter '-' and</t>
  </si>
  <si>
    <t>passing them to the destination cell.</t>
  </si>
  <si>
    <t>Here I have used Vlookup function to fetch the value from the Table of Dataset sheet.</t>
  </si>
  <si>
    <t>I have used freeze panes to freeze the top row.</t>
  </si>
  <si>
    <t>I have used sum if function to sum up the values &gt;20</t>
  </si>
  <si>
    <t>I have used date formats to format the date to the required format.</t>
  </si>
  <si>
    <t>I have used conditional formatting to format the table based on given condition.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</si>
</sst>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4" fontId="4" fillId="0" borderId="0" xfId="0" applyNumberFormat="1" applyFont="1" applyFill="1"/>
    <xf numFmtId="164" fontId="3" fillId="0" borderId="0" xfId="0" applyNumberFormat="1" applyFont="1" applyFill="1"/>
    <xf numFmtId="167" fontId="7" fillId="0" borderId="0" xfId="0" applyNumberFormat="1" applyFont="1"/>
    <xf numFmtId="167" fontId="3" fillId="0" borderId="0" xfId="0" applyNumberFormat="1" applyFont="1"/>
    <xf numFmtId="0" fontId="9" fillId="0" borderId="0" xfId="0" applyFo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44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6" t="s">
        <v>64</v>
      </c>
      <c r="B1" s="26" t="s">
        <v>43</v>
      </c>
      <c r="C1" s="26" t="s">
        <v>0</v>
      </c>
      <c r="D1" s="43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44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44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44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44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44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44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44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44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44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44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44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44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44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44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44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44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44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44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44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44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44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44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44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44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44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44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44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44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44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44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44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44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44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44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44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44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44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44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44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:X40">
    <cfRule type="cellIs" dxfId="2" priority="1" operator="equal">
      <formula>0</formula>
    </cfRule>
    <cfRule type="cellIs" dxfId="1" priority="2" operator="equal">
      <formula>-1</formula>
    </cfRule>
    <cfRule type="cellIs" dxfId="0" priority="3" operator="equal">
      <formula>22589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G14"/>
  <sheetViews>
    <sheetView zoomScaleNormal="100" workbookViewId="0"/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7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7" x14ac:dyDescent="0.35">
      <c r="A2" s="2"/>
      <c r="B2" s="5" t="s">
        <v>159</v>
      </c>
      <c r="C2" s="2"/>
    </row>
    <row r="3" spans="1:7" x14ac:dyDescent="0.35">
      <c r="A3" s="6">
        <v>1</v>
      </c>
      <c r="B3" s="2" t="s">
        <v>107</v>
      </c>
      <c r="C3" s="2" t="s">
        <v>45</v>
      </c>
      <c r="E3" s="1">
        <v>5</v>
      </c>
      <c r="G3" s="1" t="s">
        <v>189</v>
      </c>
    </row>
    <row r="4" spans="1:7" x14ac:dyDescent="0.35">
      <c r="A4" s="6">
        <v>2</v>
      </c>
      <c r="B4" s="2" t="s">
        <v>46</v>
      </c>
      <c r="C4" s="2"/>
      <c r="E4" s="1">
        <v>5</v>
      </c>
      <c r="G4" s="1" t="s">
        <v>186</v>
      </c>
    </row>
    <row r="5" spans="1:7" x14ac:dyDescent="0.35">
      <c r="A5" s="6">
        <v>3</v>
      </c>
      <c r="B5" s="2" t="s">
        <v>104</v>
      </c>
      <c r="C5" s="33">
        <f>SUMIF(Dataset!H21:H40,"&gt;20")</f>
        <v>1093.0999999999999</v>
      </c>
      <c r="E5" s="1">
        <v>10</v>
      </c>
      <c r="G5" s="1" t="s">
        <v>187</v>
      </c>
    </row>
    <row r="6" spans="1:7" x14ac:dyDescent="0.35">
      <c r="A6" s="6">
        <v>4</v>
      </c>
      <c r="B6" s="2" t="s">
        <v>106</v>
      </c>
      <c r="C6" s="2"/>
      <c r="E6" s="1">
        <v>5</v>
      </c>
      <c r="G6" s="1" t="s">
        <v>188</v>
      </c>
    </row>
    <row r="7" spans="1:7" x14ac:dyDescent="0.35">
      <c r="A7" s="2"/>
      <c r="B7" s="2"/>
      <c r="C7" s="2"/>
    </row>
    <row r="13" spans="1:7" x14ac:dyDescent="0.35">
      <c r="E13" s="2"/>
    </row>
    <row r="14" spans="1:7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zoomScaleNormal="100" workbookViewId="0"/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8" s="40" customFormat="1" ht="21" x14ac:dyDescent="0.5">
      <c r="A1" s="41" t="s">
        <v>55</v>
      </c>
      <c r="B1" s="40" t="s">
        <v>163</v>
      </c>
    </row>
    <row r="2" spans="1:8" s="40" customFormat="1" ht="21" x14ac:dyDescent="0.5">
      <c r="B2" s="40" t="s">
        <v>160</v>
      </c>
    </row>
    <row r="3" spans="1:8" ht="14.5" x14ac:dyDescent="0.35">
      <c r="A3" s="1"/>
      <c r="B3" s="1"/>
      <c r="C3" s="1"/>
      <c r="D3" s="1"/>
      <c r="E3" s="1"/>
      <c r="F3" s="1"/>
      <c r="G3" s="1"/>
    </row>
    <row r="4" spans="1:8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8" ht="14.5" x14ac:dyDescent="0.3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H5" s="47" t="s">
        <v>179</v>
      </c>
    </row>
    <row r="6" spans="1:8" ht="14.5" x14ac:dyDescent="0.35">
      <c r="A6" s="7" t="s">
        <v>40</v>
      </c>
      <c r="B6" s="12">
        <f>VLOOKUP(A6:A27,Dataset!A1:X40,7,FALSE)</f>
        <v>2.7</v>
      </c>
      <c r="C6" s="12">
        <f>VLOOKUP(A6:A27,Dataset!A1:X40,14,FALSE)</f>
        <v>7.6</v>
      </c>
      <c r="D6" s="12">
        <f>VLOOKUP(A6:A27,Dataset!A1:X40,18,FALSE)</f>
        <v>4.2</v>
      </c>
      <c r="E6" s="12">
        <f>VLOOKUP(A6:A27,Dataset!A1:X40,20,FALSE)</f>
        <v>8.9</v>
      </c>
      <c r="F6" s="8">
        <f>VLOOKUP(A6:A27,Dataset!A1:X40,22,FALSE)</f>
        <v>4.2</v>
      </c>
      <c r="H6" s="2" t="s">
        <v>185</v>
      </c>
    </row>
    <row r="7" spans="1:8" ht="14.5" x14ac:dyDescent="0.35">
      <c r="A7" s="7" t="s">
        <v>4</v>
      </c>
      <c r="B7" s="12">
        <f>VLOOKUP(A7:A28,Dataset!A2:X41,7,FALSE)</f>
        <v>2.7</v>
      </c>
      <c r="C7" s="12">
        <f>VLOOKUP(A7:A28,Dataset!A2:X41,14,FALSE)</f>
        <v>7.6</v>
      </c>
      <c r="D7" s="12">
        <f>VLOOKUP(A7:A28,Dataset!A2:X41,18,FALSE)</f>
        <v>4.2</v>
      </c>
      <c r="E7" s="12">
        <f>VLOOKUP(A7:A28,Dataset!A2:X41,20,FALSE)</f>
        <v>8.9</v>
      </c>
      <c r="F7" s="8">
        <f>VLOOKUP(A7:A28,Dataset!A2:X41,22,FALSE)</f>
        <v>4.2</v>
      </c>
    </row>
    <row r="8" spans="1:8" ht="14.5" x14ac:dyDescent="0.35">
      <c r="A8" s="7" t="s">
        <v>7</v>
      </c>
      <c r="B8" s="12">
        <f>VLOOKUP(A8:A29,Dataset!A3:X42,7,FALSE)</f>
        <v>3.6</v>
      </c>
      <c r="C8" s="12">
        <f>VLOOKUP(A8:A29,Dataset!A3:X42,14,FALSE)</f>
        <v>11.1</v>
      </c>
      <c r="D8" s="12">
        <f>VLOOKUP(A8:A29,Dataset!A3:X42,18,FALSE)</f>
        <v>5.8</v>
      </c>
      <c r="E8" s="12">
        <f>VLOOKUP(A8:A29,Dataset!A3:X42,20,FALSE)</f>
        <v>12.2</v>
      </c>
      <c r="F8" s="8">
        <f>VLOOKUP(A8:A29,Dataset!A3:X42,22,FALSE)</f>
        <v>5.8</v>
      </c>
    </row>
    <row r="9" spans="1:8" ht="14.5" x14ac:dyDescent="0.35">
      <c r="A9" s="7" t="s">
        <v>8</v>
      </c>
      <c r="B9" s="12">
        <f>VLOOKUP(A9:A30,Dataset!A4:X43,7,FALSE)</f>
        <v>4.9000000000000004</v>
      </c>
      <c r="C9" s="12">
        <f>VLOOKUP(A9:A30,Dataset!A4:X43,14,FALSE)</f>
        <v>13.3</v>
      </c>
      <c r="D9" s="12">
        <f>VLOOKUP(A9:A30,Dataset!A4:X43,18,FALSE)</f>
        <v>8.1</v>
      </c>
      <c r="E9" s="12">
        <f>VLOOKUP(A9:A30,Dataset!A4:X43,20,FALSE)</f>
        <v>17</v>
      </c>
      <c r="F9" s="8">
        <f>VLOOKUP(A9:A30,Dataset!A4:X43,22,FALSE)</f>
        <v>8.1</v>
      </c>
    </row>
    <row r="10" spans="1:8" ht="14.5" x14ac:dyDescent="0.35">
      <c r="A10" s="7" t="s">
        <v>11</v>
      </c>
      <c r="B10" s="12">
        <f>VLOOKUP(A10:A31,Dataset!A5:X44,7,FALSE)</f>
        <v>9.4</v>
      </c>
      <c r="C10" s="12">
        <f>VLOOKUP(A10:A31,Dataset!A5:X44,14,FALSE)</f>
        <v>28.3</v>
      </c>
      <c r="D10" s="12">
        <f>VLOOKUP(A10:A31,Dataset!A5:X44,18,FALSE)</f>
        <v>16.100000000000001</v>
      </c>
      <c r="E10" s="12">
        <f>VLOOKUP(A10:A31,Dataset!A5:X44,20,FALSE)</f>
        <v>32.799999999999997</v>
      </c>
      <c r="F10" s="8">
        <f>VLOOKUP(A10:A31,Dataset!A5:X44,22,FALSE)</f>
        <v>16.100000000000001</v>
      </c>
    </row>
    <row r="11" spans="1:8" ht="14.5" x14ac:dyDescent="0.35">
      <c r="A11" s="7" t="s">
        <v>12</v>
      </c>
      <c r="B11" s="12">
        <f>VLOOKUP(A11:A32,Dataset!A6:X45,7,FALSE)</f>
        <v>11.6</v>
      </c>
      <c r="C11" s="12">
        <f>VLOOKUP(A11:A32,Dataset!A6:X45,14,FALSE)</f>
        <v>35.200000000000003</v>
      </c>
      <c r="D11" s="12">
        <f>VLOOKUP(A11:A32,Dataset!A6:X45,18,FALSE)</f>
        <v>21.3</v>
      </c>
      <c r="E11" s="12">
        <f>VLOOKUP(A11:A32,Dataset!A6:X45,20,FALSE)</f>
        <v>43</v>
      </c>
      <c r="F11" s="8">
        <f>VLOOKUP(A11:A32,Dataset!A6:X45,22,FALSE)</f>
        <v>21.3</v>
      </c>
    </row>
    <row r="12" spans="1:8" ht="14.5" x14ac:dyDescent="0.35">
      <c r="A12" s="7" t="s">
        <v>14</v>
      </c>
      <c r="B12" s="12">
        <f>VLOOKUP(A12:A33,Dataset!A7:X46,7,FALSE)</f>
        <v>18.399999999999999</v>
      </c>
      <c r="C12" s="12">
        <f>VLOOKUP(A12:A33,Dataset!A7:X46,14,FALSE)</f>
        <v>55.6</v>
      </c>
      <c r="D12" s="12">
        <f>VLOOKUP(A12:A33,Dataset!A7:X46,18,FALSE)</f>
        <v>33.799999999999997</v>
      </c>
      <c r="E12" s="12">
        <f>VLOOKUP(A12:A33,Dataset!A7:X46,20,FALSE)</f>
        <v>67.900000000000006</v>
      </c>
      <c r="F12" s="8">
        <f>VLOOKUP(A12:A33,Dataset!A7:X46,22,FALSE)</f>
        <v>33.799999999999997</v>
      </c>
    </row>
    <row r="13" spans="1:8" ht="14.5" x14ac:dyDescent="0.35">
      <c r="A13" s="7" t="s">
        <v>15</v>
      </c>
      <c r="B13" s="12">
        <f>VLOOKUP(A13:A34,Dataset!A8:X47,7,FALSE)</f>
        <v>0</v>
      </c>
      <c r="C13" s="12">
        <f>VLOOKUP(A13:A34,Dataset!A8:X47,14,FALSE)</f>
        <v>0</v>
      </c>
      <c r="D13" s="12">
        <f>VLOOKUP(A13:A34,Dataset!A8:X47,18,FALSE)</f>
        <v>0</v>
      </c>
      <c r="E13" s="12">
        <f>VLOOKUP(A13:A34,Dataset!A8:X47,20,FALSE)</f>
        <v>0</v>
      </c>
      <c r="F13" s="8">
        <f>VLOOKUP(A13:A34,Dataset!A8:X47,22,FALSE)</f>
        <v>0</v>
      </c>
    </row>
    <row r="14" spans="1:8" ht="14.5" x14ac:dyDescent="0.35">
      <c r="A14" s="7" t="s">
        <v>16</v>
      </c>
      <c r="B14" s="12">
        <f>VLOOKUP(A14:A35,Dataset!A9:X48,7,FALSE)</f>
        <v>21.9</v>
      </c>
      <c r="C14" s="12">
        <f>VLOOKUP(A14:A35,Dataset!A9:X48,14,FALSE)</f>
        <v>61.5</v>
      </c>
      <c r="D14" s="12">
        <f>VLOOKUP(A14:A35,Dataset!A9:X48,18,FALSE)</f>
        <v>40.1</v>
      </c>
      <c r="E14" s="12">
        <f>VLOOKUP(A14:A35,Dataset!A9:X48,20,FALSE)</f>
        <v>76.599999999999994</v>
      </c>
      <c r="F14" s="8">
        <f>VLOOKUP(A14:A35,Dataset!A9:X48,22,FALSE)</f>
        <v>40.1</v>
      </c>
    </row>
    <row r="15" spans="1:8" ht="14.5" x14ac:dyDescent="0.35">
      <c r="A15" s="7" t="s">
        <v>18</v>
      </c>
      <c r="B15" s="12">
        <f>VLOOKUP(A15:A36,Dataset!A10:X49,7,FALSE)</f>
        <v>26.8</v>
      </c>
      <c r="C15" s="12">
        <f>VLOOKUP(A15:A36,Dataset!A10:X49,14,FALSE)</f>
        <v>79.599999999999994</v>
      </c>
      <c r="D15" s="12">
        <f>VLOOKUP(A15:A36,Dataset!A10:X49,18,FALSE)</f>
        <v>47.9</v>
      </c>
      <c r="E15" s="12">
        <f>VLOOKUP(A15:A36,Dataset!A10:X49,20,FALSE)</f>
        <v>96.8</v>
      </c>
      <c r="F15" s="8">
        <f>VLOOKUP(A15:A36,Dataset!A10:X49,22,FALSE)</f>
        <v>47.9</v>
      </c>
    </row>
    <row r="16" spans="1:8" ht="14.5" x14ac:dyDescent="0.35">
      <c r="A16" s="7" t="s">
        <v>20</v>
      </c>
      <c r="B16" s="12">
        <f>VLOOKUP(A16:A37,Dataset!A11:X50,7,FALSE)</f>
        <v>28.5</v>
      </c>
      <c r="C16" s="12">
        <f>VLOOKUP(A16:A37,Dataset!A11:X50,14,FALSE)</f>
        <v>85.4</v>
      </c>
      <c r="D16" s="12">
        <f>VLOOKUP(A16:A37,Dataset!A11:X50,18,FALSE)</f>
        <v>52.3</v>
      </c>
      <c r="E16" s="12">
        <f>VLOOKUP(A16:A37,Dataset!A11:X50,20,FALSE)</f>
        <v>106.1</v>
      </c>
      <c r="F16" s="8">
        <f>VLOOKUP(A16:A37,Dataset!A11:X50,22,FALSE)</f>
        <v>52.3</v>
      </c>
    </row>
    <row r="17" spans="1:6" ht="14.5" x14ac:dyDescent="0.35">
      <c r="A17" s="7" t="s">
        <v>22</v>
      </c>
      <c r="B17" s="12">
        <f>VLOOKUP(A17:A38,Dataset!A12:X51,7,FALSE)</f>
        <v>30.7</v>
      </c>
      <c r="C17" s="12">
        <f>VLOOKUP(A17:A38,Dataset!A12:X51,14,FALSE)</f>
        <v>92.1</v>
      </c>
      <c r="D17" s="12">
        <f>VLOOKUP(A17:A38,Dataset!A12:X51,18,FALSE)</f>
        <v>57</v>
      </c>
      <c r="E17" s="12">
        <f>VLOOKUP(A17:A38,Dataset!A12:X51,20,FALSE)</f>
        <v>115.1</v>
      </c>
      <c r="F17" s="8">
        <f>VLOOKUP(A17:A38,Dataset!A12:X51,22,FALSE)</f>
        <v>57</v>
      </c>
    </row>
    <row r="18" spans="1:6" ht="14.5" x14ac:dyDescent="0.35">
      <c r="A18" s="7" t="s">
        <v>23</v>
      </c>
      <c r="B18" s="12">
        <f>VLOOKUP(A18:A39,Dataset!A13:X52,7,FALSE)</f>
        <v>33.799999999999997</v>
      </c>
      <c r="C18" s="12">
        <f>VLOOKUP(A18:A39,Dataset!A13:X52,14,FALSE)</f>
        <v>101.3</v>
      </c>
      <c r="D18" s="12">
        <f>VLOOKUP(A18:A39,Dataset!A13:X52,18,FALSE)</f>
        <v>61.4</v>
      </c>
      <c r="E18" s="12">
        <f>VLOOKUP(A18:A39,Dataset!A13:X52,20,FALSE)</f>
        <v>124.4</v>
      </c>
      <c r="F18" s="8">
        <f>VLOOKUP(A18:A39,Dataset!A13:X52,22,FALSE)</f>
        <v>61.4</v>
      </c>
    </row>
    <row r="19" spans="1:6" ht="14.5" x14ac:dyDescent="0.35">
      <c r="A19" s="7" t="s">
        <v>24</v>
      </c>
      <c r="B19" s="12">
        <f>VLOOKUP(A19:A40,Dataset!A14:X53,7,FALSE)</f>
        <v>34.700000000000003</v>
      </c>
      <c r="C19" s="12">
        <f>VLOOKUP(A19:A40,Dataset!A14:X53,14,FALSE)</f>
        <v>106.1</v>
      </c>
      <c r="D19" s="12">
        <f>VLOOKUP(A19:A40,Dataset!A14:X53,18,FALSE)</f>
        <v>63.6</v>
      </c>
      <c r="E19" s="12">
        <f>VLOOKUP(A19:A40,Dataset!A14:X53,20,FALSE)</f>
        <v>128.6</v>
      </c>
      <c r="F19" s="8">
        <f>VLOOKUP(A19:A40,Dataset!A14:X53,22,FALSE)</f>
        <v>63.6</v>
      </c>
    </row>
    <row r="20" spans="1:6" ht="14.5" x14ac:dyDescent="0.35">
      <c r="A20" s="7" t="s">
        <v>28</v>
      </c>
      <c r="B20" s="12">
        <f>VLOOKUP(A20:A41,Dataset!A15:X54,7,FALSE)</f>
        <v>0</v>
      </c>
      <c r="C20" s="12">
        <f>VLOOKUP(A20:A41,Dataset!A15:X54,14,FALSE)</f>
        <v>0</v>
      </c>
      <c r="D20" s="12">
        <f>VLOOKUP(A20:A41,Dataset!A15:X54,18,FALSE)</f>
        <v>0</v>
      </c>
      <c r="E20" s="12">
        <f>VLOOKUP(A20:A41,Dataset!A15:X54,20,FALSE)</f>
        <v>0</v>
      </c>
      <c r="F20" s="8">
        <f>VLOOKUP(A20:A41,Dataset!A15:X54,22,FALSE)</f>
        <v>0</v>
      </c>
    </row>
    <row r="21" spans="1:6" ht="14.5" x14ac:dyDescent="0.35">
      <c r="A21" s="7" t="s">
        <v>57</v>
      </c>
      <c r="B21" s="12">
        <f>VLOOKUP(A21:A42,Dataset!A16:X55,7,FALSE)</f>
        <v>41.3</v>
      </c>
      <c r="C21" s="12">
        <f>VLOOKUP(A21:A42,Dataset!A16:X55,14,FALSE)</f>
        <v>124.4</v>
      </c>
      <c r="D21" s="12">
        <f>VLOOKUP(A21:A42,Dataset!A16:X55,18,FALSE)</f>
        <v>75</v>
      </c>
      <c r="E21" s="12">
        <f>VLOOKUP(A21:A42,Dataset!A16:X55,20,FALSE)</f>
        <v>151.5</v>
      </c>
      <c r="F21" s="8">
        <f>VLOOKUP(A21:A42,Dataset!A16:X55,22,FALSE)</f>
        <v>75</v>
      </c>
    </row>
    <row r="22" spans="1:6" ht="14.5" x14ac:dyDescent="0.35">
      <c r="A22" s="7" t="s">
        <v>58</v>
      </c>
      <c r="B22" s="12">
        <f>VLOOKUP(A22:A43,Dataset!A17:X56,7,FALSE)</f>
        <v>-1</v>
      </c>
      <c r="C22" s="12">
        <f>VLOOKUP(A22:A43,Dataset!A17:X56,14,FALSE)</f>
        <v>-1</v>
      </c>
      <c r="D22" s="12">
        <f>VLOOKUP(A22:A43,Dataset!A17:X56,18,FALSE)</f>
        <v>-1</v>
      </c>
      <c r="E22" s="12">
        <f>VLOOKUP(A22:A43,Dataset!A17:X56,20,FALSE)</f>
        <v>-1</v>
      </c>
      <c r="F22" s="8">
        <f>VLOOKUP(A22:A43,Dataset!A17:X56,22,FALSE)</f>
        <v>-1</v>
      </c>
    </row>
    <row r="23" spans="1:6" ht="14.5" x14ac:dyDescent="0.35">
      <c r="A23" s="7" t="s">
        <v>31</v>
      </c>
      <c r="B23" s="12">
        <f>VLOOKUP(A23:A44,Dataset!A18:X57,7,FALSE)</f>
        <v>45</v>
      </c>
      <c r="C23" s="12">
        <f>VLOOKUP(A23:A44,Dataset!A18:X57,14,FALSE)</f>
        <v>133.4</v>
      </c>
      <c r="D23" s="12">
        <f>VLOOKUP(A23:A44,Dataset!A18:X57,18,FALSE)</f>
        <v>79.400000000000006</v>
      </c>
      <c r="E23" s="12">
        <f>VLOOKUP(A23:A44,Dataset!A18:X57,20,FALSE)</f>
        <v>160.9</v>
      </c>
      <c r="F23" s="8">
        <f>VLOOKUP(A23:A44,Dataset!A18:X57,22,FALSE)</f>
        <v>79.400000000000006</v>
      </c>
    </row>
    <row r="24" spans="1:6" ht="14.5" x14ac:dyDescent="0.35">
      <c r="A24" s="7" t="s">
        <v>32</v>
      </c>
      <c r="B24" s="12">
        <f>VLOOKUP(A24:A45,Dataset!A19:X58,7,FALSE)</f>
        <v>-1</v>
      </c>
      <c r="C24" s="12">
        <f>VLOOKUP(A24:A45,Dataset!A19:X58,14,FALSE)</f>
        <v>-1</v>
      </c>
      <c r="D24" s="12">
        <f>VLOOKUP(A24:A45,Dataset!A19:X58,18,FALSE)</f>
        <v>-1</v>
      </c>
      <c r="E24" s="12">
        <f>VLOOKUP(A24:A45,Dataset!A19:X58,20,FALSE)</f>
        <v>-1</v>
      </c>
      <c r="F24" s="8">
        <f>VLOOKUP(A24:A45,Dataset!A19:X58,22,FALSE)</f>
        <v>-1</v>
      </c>
    </row>
    <row r="25" spans="1:6" ht="14.5" x14ac:dyDescent="0.35">
      <c r="A25" s="7" t="s">
        <v>34</v>
      </c>
      <c r="B25" s="12">
        <f>VLOOKUP(A25:A46,Dataset!A20:X59,7,FALSE)</f>
        <v>43.3</v>
      </c>
      <c r="C25" s="12">
        <f>VLOOKUP(A25:A46,Dataset!A20:X59,14,FALSE)</f>
        <v>128.6</v>
      </c>
      <c r="D25" s="12">
        <f>VLOOKUP(A25:A46,Dataset!A20:X59,18,FALSE)</f>
        <v>79.400000000000006</v>
      </c>
      <c r="E25" s="12">
        <f>VLOOKUP(A25:A46,Dataset!A20:X59,20,FALSE)</f>
        <v>160.9</v>
      </c>
      <c r="F25" s="8">
        <f>VLOOKUP(A25:A46,Dataset!A20:X59,22,FALSE)</f>
        <v>79.400000000000006</v>
      </c>
    </row>
    <row r="26" spans="1:6" ht="14.5" x14ac:dyDescent="0.35">
      <c r="A26" s="7" t="s">
        <v>37</v>
      </c>
      <c r="B26" s="12">
        <f>VLOOKUP(A26:A47,Dataset!A21:X60,7,FALSE)</f>
        <v>49.1</v>
      </c>
      <c r="C26" s="12">
        <f>VLOOKUP(A26:A47,Dataset!A21:X60,14,FALSE)</f>
        <v>146.80000000000001</v>
      </c>
      <c r="D26" s="12">
        <f>VLOOKUP(A26:A47,Dataset!A21:X60,18,FALSE)</f>
        <v>90.9</v>
      </c>
      <c r="E26" s="12">
        <f>VLOOKUP(A26:A47,Dataset!A21:X60,20,FALSE)</f>
        <v>183.5</v>
      </c>
      <c r="F26" s="8">
        <f>VLOOKUP(A26:A47,Dataset!A21:X60,22,FALSE)</f>
        <v>90.9</v>
      </c>
    </row>
    <row r="27" spans="1:6" ht="14.5" x14ac:dyDescent="0.35">
      <c r="A27" s="7" t="s">
        <v>39</v>
      </c>
      <c r="B27" s="12">
        <f>VLOOKUP(A27:A48,Dataset!A22:X61,7,FALSE)</f>
        <v>51.8</v>
      </c>
      <c r="C27" s="12">
        <f>VLOOKUP(A27:A48,Dataset!A22:X61,14,FALSE)</f>
        <v>156.4</v>
      </c>
      <c r="D27" s="12">
        <f>VLOOKUP(A27:A48,Dataset!A22:X61,18,FALSE)</f>
        <v>93.1</v>
      </c>
      <c r="E27" s="12">
        <f>VLOOKUP(A27:A48,Dataset!A22:X61,20,FALSE)</f>
        <v>188.1</v>
      </c>
      <c r="F27" s="8">
        <f>VLOOKUP(A27:A48,Dataset!A22:X61,22,FALSE)</f>
        <v>93.1</v>
      </c>
    </row>
    <row r="28" spans="1:6" ht="14.5" x14ac:dyDescent="0.3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53</v>
      </c>
      <c r="B5" s="39"/>
    </row>
    <row r="6" spans="1:10" ht="18.5" x14ac:dyDescent="0.45">
      <c r="A6" s="42" t="s">
        <v>152</v>
      </c>
      <c r="B6" s="39"/>
    </row>
    <row r="7" spans="1:10" ht="18.5" x14ac:dyDescent="0.45">
      <c r="A7" s="42"/>
      <c r="B7" s="39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  <c r="H15" s="3" t="s">
        <v>179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  <c r="H16" s="1" t="s">
        <v>183</v>
      </c>
    </row>
    <row r="17" spans="1:8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  <c r="H17" s="1" t="s">
        <v>184</v>
      </c>
    </row>
    <row r="18" spans="1:8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8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8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8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8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8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8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8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8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8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8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8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8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8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8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5" ht="21" x14ac:dyDescent="0.5">
      <c r="A1" s="41" t="s">
        <v>85</v>
      </c>
      <c r="B1" s="40" t="s">
        <v>166</v>
      </c>
    </row>
    <row r="2" spans="1:5" ht="18.5" x14ac:dyDescent="0.45">
      <c r="B2" s="39" t="s">
        <v>165</v>
      </c>
    </row>
    <row r="5" spans="1:5" ht="14.5" x14ac:dyDescent="0.35">
      <c r="B5" s="1" t="s">
        <v>150</v>
      </c>
    </row>
    <row r="6" spans="1:5" ht="14.5" x14ac:dyDescent="0.35">
      <c r="A6" s="3" t="s">
        <v>53</v>
      </c>
      <c r="B6" s="1"/>
    </row>
    <row r="7" spans="1:5" ht="14.5" x14ac:dyDescent="0.35">
      <c r="A7" s="3" t="s">
        <v>152</v>
      </c>
      <c r="B7" s="1"/>
    </row>
    <row r="10" spans="1:5" ht="23.5" x14ac:dyDescent="0.55000000000000004">
      <c r="A10" s="17" t="s">
        <v>161</v>
      </c>
    </row>
    <row r="11" spans="1:5" ht="14.5" x14ac:dyDescent="0.35">
      <c r="A11" s="31" t="s">
        <v>86</v>
      </c>
      <c r="B11" s="16" t="s">
        <v>87</v>
      </c>
      <c r="C11" s="16" t="s">
        <v>88</v>
      </c>
      <c r="E11" s="47" t="s">
        <v>179</v>
      </c>
    </row>
    <row r="12" spans="1:5" ht="14.5" x14ac:dyDescent="0.35">
      <c r="A12" s="31">
        <v>44927</v>
      </c>
      <c r="B12" s="16" t="s">
        <v>59</v>
      </c>
      <c r="C12" s="16">
        <v>200</v>
      </c>
      <c r="E12" s="2" t="s">
        <v>178</v>
      </c>
    </row>
    <row r="13" spans="1:5" ht="14.5" x14ac:dyDescent="0.35">
      <c r="A13" s="31">
        <v>44928</v>
      </c>
      <c r="B13" s="16" t="s">
        <v>60</v>
      </c>
      <c r="C13" s="16">
        <v>20</v>
      </c>
      <c r="E13" s="2" t="s">
        <v>177</v>
      </c>
    </row>
    <row r="14" spans="1:5" ht="14.5" x14ac:dyDescent="0.35">
      <c r="A14" s="31">
        <v>44929</v>
      </c>
      <c r="B14" s="16" t="s">
        <v>61</v>
      </c>
      <c r="C14" s="16">
        <v>50</v>
      </c>
    </row>
    <row r="15" spans="1:5" ht="14.5" x14ac:dyDescent="0.35">
      <c r="A15" s="31">
        <v>44930</v>
      </c>
      <c r="B15" s="16" t="s">
        <v>62</v>
      </c>
      <c r="C15" s="16">
        <v>20</v>
      </c>
    </row>
    <row r="16" spans="1:5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153</v>
      </c>
      <c r="C17" s="16">
        <v>150</v>
      </c>
    </row>
    <row r="18" spans="1:3" ht="14.5" x14ac:dyDescent="0.35">
      <c r="A18" s="31">
        <v>44933</v>
      </c>
      <c r="B18" s="16" t="s">
        <v>154</v>
      </c>
      <c r="C18" s="16">
        <v>80</v>
      </c>
    </row>
    <row r="19" spans="1:3" ht="14.5" x14ac:dyDescent="0.35">
      <c r="A19" s="31">
        <v>44934</v>
      </c>
      <c r="B19" s="16" t="s">
        <v>155</v>
      </c>
      <c r="C19" s="16">
        <v>20</v>
      </c>
    </row>
    <row r="20" spans="1:3" ht="14.5" x14ac:dyDescent="0.35">
      <c r="A20" s="31">
        <v>44935</v>
      </c>
      <c r="B20" s="16" t="s">
        <v>156</v>
      </c>
      <c r="C20" s="16">
        <v>30</v>
      </c>
    </row>
    <row r="21" spans="1:3" ht="14.5" x14ac:dyDescent="0.35">
      <c r="A21" s="31">
        <v>44936</v>
      </c>
      <c r="B21" s="16" t="s">
        <v>157</v>
      </c>
      <c r="C21" s="16">
        <v>20</v>
      </c>
    </row>
    <row r="22" spans="1:3" ht="14.5" x14ac:dyDescent="0.35">
      <c r="B22" s="16" t="s">
        <v>158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174</v>
      </c>
    </row>
    <row r="3" spans="1:14" ht="14.5" x14ac:dyDescent="0.35">
      <c r="B3" s="1" t="s">
        <v>150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97</v>
      </c>
    </row>
    <row r="21" spans="1:14" ht="23.5" x14ac:dyDescent="0.55000000000000004">
      <c r="A21" s="17" t="s">
        <v>167</v>
      </c>
    </row>
    <row r="22" spans="1:14" ht="14.5" x14ac:dyDescent="0.35">
      <c r="A22" s="16" t="s">
        <v>100</v>
      </c>
      <c r="B22" s="16" t="s">
        <v>101</v>
      </c>
      <c r="C22" s="16" t="s">
        <v>100</v>
      </c>
      <c r="D22" s="16" t="s">
        <v>101</v>
      </c>
      <c r="E22" s="16" t="s">
        <v>102</v>
      </c>
      <c r="G22" s="47" t="s">
        <v>179</v>
      </c>
    </row>
    <row r="23" spans="1:14" ht="14.5" x14ac:dyDescent="0.35">
      <c r="A23" s="16">
        <v>10100</v>
      </c>
      <c r="B23" s="16">
        <v>10102</v>
      </c>
      <c r="C23" s="24" t="str">
        <f>VLOOKUP(A23,$M$9:$N$18,2,FALSE)</f>
        <v>A</v>
      </c>
      <c r="D23" s="24" t="str">
        <f>VLOOKUP(B23,$M$9:$N$18,2,FALSE)</f>
        <v>B</v>
      </c>
      <c r="E23" s="24">
        <f>INDEX($B$10:$J$18,MATCH(C23,$A$10:$A$18,0),MATCH(D23,$B$9:$J$9,0))</f>
        <v>95</v>
      </c>
      <c r="G23" s="2" t="s">
        <v>180</v>
      </c>
    </row>
    <row r="24" spans="1:14" ht="14.5" x14ac:dyDescent="0.35">
      <c r="A24" s="16">
        <v>10100</v>
      </c>
      <c r="B24" s="16">
        <v>10104</v>
      </c>
      <c r="C24" s="24" t="str">
        <f t="shared" ref="C24:C35" si="0">VLOOKUP(A24,$M$9:$N$18,2,FALSE)</f>
        <v>A</v>
      </c>
      <c r="D24" s="24" t="str">
        <f t="shared" ref="D24:D35" si="1">VLOOKUP(B24,$M$9:$N$18,2,FALSE)</f>
        <v>C</v>
      </c>
      <c r="E24" s="24">
        <f>INDEX($B$10:$J$18,MATCH(C24,$A$10:$A$18,0),MATCH(D24,$B$9:$J$9,0))</f>
        <v>-1</v>
      </c>
      <c r="G24" s="48" t="s">
        <v>182</v>
      </c>
    </row>
    <row r="25" spans="1:14" ht="14.5" x14ac:dyDescent="0.35">
      <c r="A25" s="16">
        <v>10108</v>
      </c>
      <c r="B25" s="16">
        <v>10102</v>
      </c>
      <c r="C25" s="24" t="str">
        <f t="shared" si="0"/>
        <v>E</v>
      </c>
      <c r="D25" s="24" t="str">
        <f t="shared" si="1"/>
        <v>B</v>
      </c>
      <c r="E25" s="24">
        <f t="shared" ref="E25:E35" si="2">INDEX($B$10:$J$18,MATCH(C25,$A$10:$A$18,0),MATCH(D25,$B$9:$J$9,0))</f>
        <v>160</v>
      </c>
      <c r="G25" s="48" t="s">
        <v>181</v>
      </c>
    </row>
    <row r="26" spans="1:14" ht="14.5" x14ac:dyDescent="0.35">
      <c r="A26" s="16">
        <v>10100</v>
      </c>
      <c r="B26" s="16">
        <v>10106</v>
      </c>
      <c r="C26" s="24" t="str">
        <f t="shared" si="0"/>
        <v>A</v>
      </c>
      <c r="D26" s="24" t="str">
        <f t="shared" si="1"/>
        <v>D</v>
      </c>
      <c r="E26" s="24">
        <f t="shared" si="2"/>
        <v>185</v>
      </c>
    </row>
    <row r="27" spans="1:14" ht="14.5" x14ac:dyDescent="0.35">
      <c r="A27" s="16">
        <v>10108</v>
      </c>
      <c r="B27" s="16">
        <v>10110</v>
      </c>
      <c r="C27" s="24" t="str">
        <f t="shared" si="0"/>
        <v>E</v>
      </c>
      <c r="D27" s="24" t="str">
        <f t="shared" si="1"/>
        <v>F</v>
      </c>
      <c r="E27" s="24">
        <f t="shared" si="2"/>
        <v>50</v>
      </c>
    </row>
    <row r="28" spans="1:14" ht="14.5" x14ac:dyDescent="0.35">
      <c r="A28" s="16">
        <v>10102</v>
      </c>
      <c r="B28" s="16">
        <v>10104</v>
      </c>
      <c r="C28" s="24" t="str">
        <f t="shared" si="0"/>
        <v>B</v>
      </c>
      <c r="D28" s="24" t="str">
        <f t="shared" si="1"/>
        <v>C</v>
      </c>
      <c r="E28" s="24">
        <f t="shared" si="2"/>
        <v>-1</v>
      </c>
    </row>
    <row r="29" spans="1:14" ht="14.5" x14ac:dyDescent="0.35">
      <c r="A29" s="16">
        <v>10106</v>
      </c>
      <c r="B29" s="16">
        <v>10108</v>
      </c>
      <c r="C29" s="24" t="str">
        <f t="shared" si="0"/>
        <v>D</v>
      </c>
      <c r="D29" s="24" t="str">
        <f t="shared" si="1"/>
        <v>E</v>
      </c>
      <c r="E29" s="24">
        <f t="shared" si="2"/>
        <v>70</v>
      </c>
    </row>
    <row r="30" spans="1:14" ht="14.5" x14ac:dyDescent="0.35">
      <c r="A30" s="16">
        <v>10102</v>
      </c>
      <c r="B30" s="16">
        <v>10106</v>
      </c>
      <c r="C30" s="24" t="str">
        <f t="shared" si="0"/>
        <v>B</v>
      </c>
      <c r="D30" s="24" t="str">
        <f t="shared" si="1"/>
        <v>D</v>
      </c>
      <c r="E30" s="24">
        <f t="shared" si="2"/>
        <v>90</v>
      </c>
    </row>
    <row r="31" spans="1:14" ht="14.5" x14ac:dyDescent="0.35">
      <c r="A31" s="16">
        <v>10110</v>
      </c>
      <c r="B31" s="16">
        <v>10114</v>
      </c>
      <c r="C31" s="24" t="str">
        <f t="shared" si="0"/>
        <v>F</v>
      </c>
      <c r="D31" s="24" t="str">
        <f t="shared" si="1"/>
        <v>H</v>
      </c>
      <c r="E31" s="24">
        <f t="shared" si="2"/>
        <v>180</v>
      </c>
    </row>
    <row r="32" spans="1:14" ht="14.5" x14ac:dyDescent="0.35">
      <c r="A32" s="16">
        <v>10104</v>
      </c>
      <c r="B32" s="16">
        <v>10106</v>
      </c>
      <c r="C32" s="24" t="str">
        <f t="shared" si="0"/>
        <v>C</v>
      </c>
      <c r="D32" s="24" t="str">
        <f t="shared" si="1"/>
        <v>D</v>
      </c>
      <c r="E32" s="24">
        <f t="shared" si="2"/>
        <v>60</v>
      </c>
    </row>
    <row r="33" spans="1:5" ht="14.5" x14ac:dyDescent="0.35">
      <c r="A33" s="16">
        <v>10110</v>
      </c>
      <c r="B33" s="16">
        <v>10112</v>
      </c>
      <c r="C33" s="24" t="str">
        <f t="shared" si="0"/>
        <v>F</v>
      </c>
      <c r="D33" s="24" t="str">
        <f t="shared" si="1"/>
        <v>G</v>
      </c>
      <c r="E33" s="24">
        <f t="shared" si="2"/>
        <v>115</v>
      </c>
    </row>
    <row r="34" spans="1:5" ht="14.5" x14ac:dyDescent="0.35">
      <c r="A34" s="16">
        <v>10100</v>
      </c>
      <c r="B34" s="16">
        <v>10114</v>
      </c>
      <c r="C34" s="24" t="str">
        <f t="shared" si="0"/>
        <v>A</v>
      </c>
      <c r="D34" s="24" t="str">
        <f t="shared" si="1"/>
        <v>H</v>
      </c>
      <c r="E34" s="24">
        <f t="shared" si="2"/>
        <v>480</v>
      </c>
    </row>
    <row r="35" spans="1:5" ht="14.5" x14ac:dyDescent="0.35">
      <c r="A35" s="16">
        <v>10112</v>
      </c>
      <c r="B35" s="16">
        <v>10116</v>
      </c>
      <c r="C35" s="24" t="str">
        <f t="shared" si="0"/>
        <v>G</v>
      </c>
      <c r="D35" s="24" t="str">
        <f t="shared" si="1"/>
        <v>I</v>
      </c>
      <c r="E35" s="24">
        <f t="shared" si="2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Abishake N</cp:lastModifiedBy>
  <dcterms:created xsi:type="dcterms:W3CDTF">2015-02-10T17:33:11Z</dcterms:created>
  <dcterms:modified xsi:type="dcterms:W3CDTF">2024-10-24T16:31:57Z</dcterms:modified>
</cp:coreProperties>
</file>